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edr/Downloads/"/>
    </mc:Choice>
  </mc:AlternateContent>
  <xr:revisionPtr revIDLastSave="0" documentId="13_ncr:1_{47659806-5A86-F049-8F4F-5DDF09B601FB}" xr6:coauthVersionLast="47" xr6:coauthVersionMax="47" xr10:uidLastSave="{00000000-0000-0000-0000-000000000000}"/>
  <bookViews>
    <workbookView xWindow="0" yWindow="600" windowWidth="28800" windowHeight="16420" xr2:uid="{00000000-000D-0000-FFFF-FFFF00000000}"/>
  </bookViews>
  <sheets>
    <sheet name="Penilaian" sheetId="1" r:id="rId1"/>
    <sheet name="Petunjuk Indikator"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6" i="1" l="1"/>
  <c r="M56" i="1" s="1"/>
  <c r="K55" i="1"/>
  <c r="M55" i="1" s="1"/>
  <c r="K54" i="1"/>
  <c r="M54" i="1" s="1"/>
  <c r="K53" i="1"/>
  <c r="M53" i="1" s="1"/>
  <c r="K52" i="1"/>
  <c r="M52" i="1" s="1"/>
  <c r="K51" i="1"/>
  <c r="M51" i="1" s="1"/>
  <c r="K50" i="1"/>
  <c r="L50" i="1" s="1"/>
  <c r="K49" i="1"/>
  <c r="M49" i="1" s="1"/>
  <c r="K48" i="1"/>
  <c r="L48" i="1" s="1"/>
  <c r="K47" i="1"/>
  <c r="L47" i="1" s="1"/>
  <c r="K46" i="1"/>
  <c r="M46" i="1" s="1"/>
  <c r="K45" i="1"/>
  <c r="M45" i="1" s="1"/>
  <c r="K44" i="1"/>
  <c r="M44" i="1" s="1"/>
  <c r="K43" i="1"/>
  <c r="L43" i="1" s="1"/>
  <c r="K42" i="1"/>
  <c r="M42" i="1" s="1"/>
  <c r="K41" i="1"/>
  <c r="M41" i="1" s="1"/>
  <c r="K40" i="1"/>
  <c r="L40" i="1" s="1"/>
  <c r="K39" i="1"/>
  <c r="L39" i="1" s="1"/>
  <c r="K38" i="1"/>
  <c r="M38" i="1" s="1"/>
  <c r="K37" i="1"/>
  <c r="M37" i="1" s="1"/>
  <c r="K36" i="1"/>
  <c r="M36" i="1" s="1"/>
  <c r="K35" i="1"/>
  <c r="M35" i="1" s="1"/>
  <c r="K34" i="1"/>
  <c r="L34" i="1" s="1"/>
  <c r="K33" i="1"/>
  <c r="M33" i="1" s="1"/>
  <c r="K32" i="1"/>
  <c r="L32" i="1" s="1"/>
  <c r="K31" i="1"/>
  <c r="M31" i="1" s="1"/>
  <c r="K30" i="1"/>
  <c r="M30" i="1" s="1"/>
  <c r="K29" i="1"/>
  <c r="M29" i="1" s="1"/>
  <c r="K28" i="1"/>
  <c r="L28" i="1" s="1"/>
  <c r="K27" i="1"/>
  <c r="M27" i="1" s="1"/>
  <c r="K26" i="1"/>
  <c r="M26" i="1" s="1"/>
  <c r="K25" i="1"/>
  <c r="M25" i="1" s="1"/>
  <c r="K24" i="1"/>
  <c r="L24" i="1" s="1"/>
  <c r="K23" i="1"/>
  <c r="M23" i="1" s="1"/>
  <c r="K22" i="1"/>
  <c r="M22" i="1" s="1"/>
  <c r="K21" i="1"/>
  <c r="M21" i="1" s="1"/>
  <c r="K20" i="1"/>
  <c r="L20" i="1" s="1"/>
  <c r="K19" i="1"/>
  <c r="L19" i="1" s="1"/>
  <c r="K18" i="1"/>
  <c r="L18" i="1" s="1"/>
  <c r="K17" i="1"/>
  <c r="M17" i="1" s="1"/>
  <c r="K16" i="1"/>
  <c r="L16" i="1" s="1"/>
  <c r="K15" i="1"/>
  <c r="M15" i="1" s="1"/>
  <c r="K14" i="1"/>
  <c r="M14" i="1" s="1"/>
  <c r="K13" i="1"/>
  <c r="M13" i="1" s="1"/>
  <c r="K12" i="1"/>
  <c r="L12" i="1" s="1"/>
  <c r="K11" i="1"/>
  <c r="M11" i="1" s="1"/>
  <c r="K10" i="1"/>
  <c r="M10" i="1" s="1"/>
  <c r="K9" i="1"/>
  <c r="M9" i="1" s="1"/>
  <c r="K8" i="1"/>
  <c r="L8" i="1" s="1"/>
  <c r="K7" i="1"/>
  <c r="M7" i="1" s="1"/>
  <c r="M50" i="1" l="1"/>
  <c r="M19" i="1"/>
  <c r="M32" i="1"/>
  <c r="L23" i="1"/>
  <c r="M43" i="1"/>
  <c r="M34" i="1"/>
  <c r="M39" i="1"/>
  <c r="M16" i="1"/>
  <c r="M48" i="1"/>
  <c r="D4" i="1"/>
  <c r="L15" i="1"/>
  <c r="M28" i="1"/>
  <c r="L42" i="1"/>
  <c r="B4" i="1"/>
  <c r="L11" i="1"/>
  <c r="M24" i="1"/>
  <c r="M47" i="1"/>
  <c r="L51" i="1"/>
  <c r="L7" i="1"/>
  <c r="M20" i="1"/>
  <c r="M12" i="1"/>
  <c r="L31" i="1"/>
  <c r="M8" i="1"/>
  <c r="L27" i="1"/>
  <c r="L35" i="1"/>
  <c r="M40" i="1"/>
  <c r="F4" i="1"/>
  <c r="L14" i="1"/>
  <c r="L22" i="1"/>
  <c r="L46" i="1"/>
  <c r="L54" i="1"/>
  <c r="L30" i="1"/>
  <c r="L38" i="1"/>
  <c r="H4" i="1"/>
  <c r="L9" i="1"/>
  <c r="L17" i="1"/>
  <c r="L25" i="1"/>
  <c r="L33" i="1"/>
  <c r="L41" i="1"/>
  <c r="L49" i="1"/>
  <c r="L36" i="1"/>
  <c r="L44" i="1"/>
  <c r="L52" i="1"/>
  <c r="L55" i="1"/>
  <c r="L10" i="1"/>
  <c r="L26" i="1"/>
  <c r="M18" i="1"/>
  <c r="L29" i="1"/>
  <c r="L37" i="1"/>
  <c r="L53" i="1"/>
  <c r="L13" i="1"/>
  <c r="L21" i="1"/>
  <c r="L45" i="1"/>
  <c r="L56" i="1"/>
</calcChain>
</file>

<file path=xl/sharedStrings.xml><?xml version="1.0" encoding="utf-8"?>
<sst xmlns="http://schemas.openxmlformats.org/spreadsheetml/2006/main" count="77" uniqueCount="69">
  <si>
    <t>RUBRIK PENILAIAN PROYEK AKHIR</t>
  </si>
  <si>
    <t>Mata Kuliah Analisis dan Desain Sistem</t>
  </si>
  <si>
    <t>Lima kriteria hasil proyek kelompok berkontribusi 60% terhadap nilai akhir proyek; kontribusi individual dalam tim berkontribusi 40%.</t>
  </si>
  <si>
    <t>Ringkasan</t>
  </si>
  <si>
    <t>NIM</t>
  </si>
  <si>
    <t>Nama</t>
  </si>
  <si>
    <t>Kelompok</t>
  </si>
  <si>
    <t>Topik</t>
  </si>
  <si>
    <t>Masalah, kebutuhan, dan SRS baseline</t>
  </si>
  <si>
    <t>Kelengkapan dan konsistensi model analisis</t>
  </si>
  <si>
    <t>Kualitas rancangan solusi sistem</t>
  </si>
  <si>
    <t>Kelengkapan dan kualitas dokumentasi SDD</t>
  </si>
  <si>
    <t>Presentasi dan design defense</t>
  </si>
  <si>
    <t>Kontribusi individual dalam tim</t>
  </si>
  <si>
    <t>Total Nilai Proyek</t>
  </si>
  <si>
    <t>Skor 4–1</t>
  </si>
  <si>
    <t>Predikat</t>
  </si>
  <si>
    <t>Catatan Dosen</t>
  </si>
  <si>
    <t>Bobot (%)</t>
  </si>
  <si>
    <t>PETUNJUK INDIKATOR PENILAIAN PROYEK AKHIR</t>
  </si>
  <si>
    <t>Skor pada sheet Penilaian diisi 0–100 untuk setiap kriteria. Nilai akhir dihitung otomatis berdasarkan bobot final.</t>
  </si>
  <si>
    <t>No.</t>
  </si>
  <si>
    <t>Kriteria Penilaian</t>
  </si>
  <si>
    <t>CPMK yang Diukur</t>
  </si>
  <si>
    <t>Bobot Final (%)</t>
  </si>
  <si>
    <t>Indikator Penilaian</t>
  </si>
  <si>
    <t>Skor 4 (79–100)</t>
  </si>
  <si>
    <t>Skor 3 (65–&lt;79)</t>
  </si>
  <si>
    <t>Skor 2 (49–&lt;65)</t>
  </si>
  <si>
    <t>Skor 1 (0–&lt;49)</t>
  </si>
  <si>
    <t>CPMK-01 &amp; CPMK-02</t>
  </si>
  <si>
    <t>Masalah dan konteks berbasis bukti; stakeholder, ruang lingkup, kelayakan, risiko, kebutuhan fungsional/non-fungsional, business rules, acceptance criteria, prioritas, validasi, dan RTM tersusun konsisten dalam SRS baseline.</t>
  </si>
  <si>
    <t>Masalah, konteks, stakeholder, scope, kelayakan, risiko, dan seluruh kebutuhan dirumuskan lengkap, terukur, tidak ambigu, tervalidasi, serta memiliki traceability yang utuh; tidak terdapat kebutuhan penting yang yatim atau bertentangan.</t>
  </si>
  <si>
    <t>Sebagian besar unsur analisis dan kebutuhan telah lengkap dan tepat; SRS baseline serta traceability memadai, tetapi masih terdapat beberapa kekurangan minor yang tidak mengubah substansi solusi.</t>
  </si>
  <si>
    <t>Masalah dan kebutuhan utama telah disajikan, tetapi sebagian unsur stakeholder, scope, kelayakan, risiko, validasi, acceptance criteria, atau RTM belum lengkap atau belum konsisten.</t>
  </si>
  <si>
    <t>Masalah tidak didukung bukti yang memadai; kebutuhan tidak lengkap atau ambigu; SRS baseline, validasi, dan traceability tidak tersedia atau tidak dapat digunakan sebagai dasar desain.</t>
  </si>
  <si>
    <t>CPMK-02 &amp; CPMK-03</t>
  </si>
  <si>
    <t>BPMN, use case, activity diagram, sequence diagram, ERD, data dictionary, dan class/domain model lengkap, menggunakan notasi tepat, konsisten antarartefak, dan dapat ditelusuri ke kebutuhan/RTM.</t>
  </si>
  <si>
    <t>Seluruh model lengkap, benar secara notasi dan semantik, konsisten satu sama lain, mencakup skenario utama/alternatif/exception, serta seluruh elemen dapat ditelusuri ke kebutuhan dan RTM.</t>
  </si>
  <si>
    <t>Sebagian besar model lengkap dan konsisten; terdapat kekurangan minor pada notasi, skenario, data, atau hubungan antarartefak, tetapi alur dan makna sistem tetap dapat dipahami dengan tepat.</t>
  </si>
  <si>
    <t>Model utama tersedia, tetapi beberapa elemen penting hilang, terdapat inkonsistensi antar-model, atau traceability terhadap kebutuhan dan RTM masih terbatas.</t>
  </si>
  <si>
    <t>Model tidak lengkap, salah secara mendasar, saling bertentangan, atau tidak menunjukkan hubungan yang dapat diverifikasi dengan kebutuhan dan RTM.</t>
  </si>
  <si>
    <t>CPMK-04</t>
  </si>
  <si>
    <t>Arsitektur logis, pembagian modul/komponen, dependensi dan aliran data, deployment konseptual, kontrol akses, keamanan dasar, atribut kualitas, navigasi, dan mockup menjawab kebutuhan sistem.</t>
  </si>
  <si>
    <t>Rancangan solusi lengkap dan koheren; tanggung jawab modul jelas, dependensi/aliran data konsisten, deployment beralasan, kontrol akses dan keamanan memadai, atribut kualitas ditangani, serta mockup mencakup fungsi utama dan selaras dengan kebutuhan.</t>
  </si>
  <si>
    <t>Rancangan mencakup sebagian besar unsur yang diperlukan dan menjawab kebutuhan; terdapat kekurangan minor pada modularisasi, aliran data, deployment, keamanan, atribut kualitas, atau mockup.</t>
  </si>
  <si>
    <t>Rancangan dasar tersedia, tetapi beberapa komponen penting belum jelas atau tidak konsisten; keamanan, atribut kualitas, deployment, atau mockup hanya dibahas secara terbatas.</t>
  </si>
  <si>
    <t>Rancangan tidak memadai, tidak menjawab kebutuhan, tidak menunjukkan pembagian tanggung jawab yang jelas, atau tidak memuat aspek arsitektur, keamanan, kualitas, dan mockup yang diperlukan.</t>
  </si>
  <si>
    <t>SDD tersusun sistematis dan lengkap; setiap design view, data design, access-control design, mockup, asumsi, constraint, trade-off, dan design rationale terdokumentasi serta dapat ditelusuri ke SRS.</t>
  </si>
  <si>
    <t>SDD lengkap, terstruktur, presisi, dan siap handover; seluruh keputusan desain memiliki rationale, asumsi/constraint/trade-off dinyatakan, diagram dan tabel diberi nomor serta dirujuk, repository tertata, dan traceability SRS-SDD utuh.</t>
  </si>
  <si>
    <t>SDD mencakup sebagian besar bagian penting dan konsisten dengan SRS; dokumentasi, rationale, penomoran, repository, dan traceability memadai dengan beberapa kekurangan minor.</t>
  </si>
  <si>
    <t>SDD tersedia tetapi beberapa bagian desain, rationale, asumsi, penomoran, repository, atau traceability belum lengkap; konsistensi istilah dan artefak masih perlu perbaikan.</t>
  </si>
  <si>
    <t>SDD tidak lengkap atau tidak terstruktur; keputusan desain tidak dijelaskan, artefak tidak tertata, dan hubungan antara SRS dengan desain tidak dapat ditelusuri.</t>
  </si>
  <si>
    <t>Tim mempresentasikan masalah, kebutuhan, model, rancangan, mockup, dan keterlacakan SRS-SDD secara runtut; visual efektif; argumentasi keputusan desain kuat; serta mampu menjawab pertanyaan secara profesional.</t>
  </si>
  <si>
    <t>Presentasi sangat runtut dan efisien; visual mendukung penjelasan; seluruh artefak konsisten; alasan dan trade-off desain dipertahankan dengan bukti; jawaban tepat; pembagian peran presentasi profesional.</t>
  </si>
  <si>
    <t>Presentasi jelas dan terstruktur; mayoritas artefak dijelaskan dengan tepat; jawaban dan argumentasi memadai, tetapi terdapat kekurangan minor pada visual, kedalaman, waktu, atau koordinasi tim.</t>
  </si>
  <si>
    <t>Presentasi menjelaskan hasil utama tetapi alurnya kurang kuat; beberapa artefak atau keputusan tidak terjelaskan; jawaban masih umum, kurang berbukti, atau koordinasi tim belum merata.</t>
  </si>
  <si>
    <t>Presentasi tidak terstruktur, artefak tidak dapat dijelaskan, keputusan desain tidak dapat dipertahankan, jawaban tidak tepat, atau tim tidak menunjukkan kesiapan profesional.</t>
  </si>
  <si>
    <t>CPMK-01 s.d. CPMK-04</t>
  </si>
  <si>
    <t>Kontribusi individu dibuktikan melalui pembagian tugas, kualitas dan ketepatan waktu pekerjaan, commit/versioning, log aktivitas, partisipasi review, penyelesaian perbaikan, pemahaman artefak, dan kemampuan mempertanggungjawabkan hasil.</t>
  </si>
  <si>
    <t>Kontribusi sangat dominan dan konsisten; menyelesaikan tanggung jawab tepat waktu dengan kualitas tinggi; aktif dalam analisis, desain, review, dan perbaikan; bukti kontribusi lengkap; memahami serta mampu mempertahankan artefak yang dikerjakan.</t>
  </si>
  <si>
    <t>Kontribusi jelas dan proporsional; sebagian besar tanggung jawab diselesaikan tepat waktu dan berkualitas; aktif dalam diskusi/review; bukti kontribusi memadai; mampu menjelaskan bagian yang menjadi tanggung jawabnya.</t>
  </si>
  <si>
    <t>Kontribusi terbatas atau tidak konsisten; beberapa tanggung jawab terlambat atau membutuhkan banyak perbaikan; bukti aktivitas kurang lengkap; partisipasi review dan pemahaman terhadap artefak masih terbatas.</t>
  </si>
  <si>
    <t>Kontribusi minimal atau tidak dapat dibuktikan; tanggung jawab tidak diselesaikan; tidak aktif dalam proses tim; tidak memahami atau tidak mampu mempertanggungjawabkan artefak proyek.</t>
  </si>
  <si>
    <t>TOTAL</t>
  </si>
  <si>
    <t>Lima kriteria proyek kelompok = 60%; kontribusi individual = 40%.</t>
  </si>
  <si>
    <t>Total Nilai Proyek = Σ (nilai kriteria × bobot final).</t>
  </si>
  <si>
    <t>PETUNJUK PENGISIAN</t>
  </si>
  <si>
    <t>1. Isikan NIM, Nama, Kelompok, dan Topik pada sheet Penilaian.
2. Masukkan nilai 0–100 pada lima kriteria proyek kelompok. Nilai yang sama dapat digunakan untuk anggota dalam kelompok yang sama apabila kualitas hasil kelompok identik.
3. Masukkan nilai Kontribusi Individual 0–100 berdasarkan bukti pembagian tugas, commit/versioning, log aktivitas, peer evidence, partisipasi review, penyelesaian revisi, dan kemampuan mempertanggungjawabkan artefak.
4. Total Nilai Proyek dihitung otomatis: 60% hasil proyek kelompok + 40% kontribusi individual.
5. Skor dan predikat dihitung otomatis: 4 = 79–100; 3 = 65–&lt;79; 2 = 49–&lt;65; 1 = 0–&lt;49.
6. Kolom Catatan Dosen digunakan untuk umpan balik, penalti, atau justifikasi penyesuaian individual.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</si>
</sst>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name val="Carlito"/>
    </font>
    <font>
      <sz val="10"/>
      <color rgb="FF000000"/>
      <name val="Arial"/>
      <family val="2"/>
    </font>
    <font>
      <b/>
      <sz val="14"/>
      <color rgb="FF000000"/>
      <name val="Arial"/>
      <family val="2"/>
    </font>
    <font>
      <b/>
      <sz val="11"/>
      <color rgb="FF000000"/>
      <name val="Arial"/>
      <family val="2"/>
    </font>
    <font>
      <i/>
      <sz val="9"/>
      <color rgb="FF333333"/>
      <name val="Arial"/>
      <family val="2"/>
    </font>
    <font>
      <b/>
      <sz val="9"/>
      <color rgb="FF000000"/>
      <name val="Arial"/>
      <family val="2"/>
    </font>
    <font>
      <sz val="9"/>
      <color rgb="FF000000"/>
      <name val="Arial"/>
      <family val="2"/>
    </font>
    <font>
      <b/>
      <sz val="13"/>
      <color rgb="FF000000"/>
      <name val="Arial"/>
      <family val="2"/>
    </font>
  </fonts>
  <fills count="4">
    <fill>
      <patternFill patternType="none"/>
    </fill>
    <fill>
      <patternFill patternType="gray125"/>
    </fill>
    <fill>
      <patternFill patternType="solid">
        <fgColor rgb="FFD9D9D9"/>
      </patternFill>
    </fill>
    <fill>
      <patternFill patternType="solid">
        <fgColor rgb="FFF2F2F2"/>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1" fillId="0" borderId="0" xfId="0" applyFont="1" applyAlignment="1">
      <alignment vertical="center" wrapText="1"/>
    </xf>
    <xf numFmtId="0" fontId="6" fillId="0" borderId="0" xfId="0" applyFont="1" applyAlignment="1">
      <alignment vertical="top" wrapText="1"/>
    </xf>
    <xf numFmtId="0" fontId="5" fillId="2" borderId="0" xfId="0" applyFont="1" applyFill="1" applyAlignment="1">
      <alignment horizontal="center" vertical="top" wrapText="1"/>
    </xf>
    <xf numFmtId="0" fontId="5" fillId="3" borderId="0" xfId="0" applyFont="1" applyFill="1" applyAlignment="1">
      <alignment vertical="top"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7" fillId="0" borderId="0" xfId="0" applyFont="1" applyAlignment="1">
      <alignment horizontal="center" vertical="top" wrapText="1"/>
    </xf>
    <xf numFmtId="0" fontId="4" fillId="0" borderId="0" xfId="0" applyFont="1" applyAlignment="1">
      <alignment horizontal="center" vertical="top" wrapText="1"/>
    </xf>
    <xf numFmtId="0" fontId="5" fillId="3" borderId="0" xfId="0" applyFont="1" applyFill="1" applyAlignment="1">
      <alignment vertical="top" wrapText="1"/>
    </xf>
    <xf numFmtId="0" fontId="6" fillId="0" borderId="0" xfId="0" applyFont="1" applyAlignment="1">
      <alignment vertical="top" wrapText="1"/>
    </xf>
    <xf numFmtId="0" fontId="5" fillId="2"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1" fillId="0" borderId="1" xfId="0" applyFont="1" applyBorder="1" applyAlignment="1">
      <alignment vertical="center" wrapText="1"/>
    </xf>
    <xf numFmtId="0" fontId="1" fillId="0" borderId="1" xfId="0" applyFont="1" applyBorder="1" applyAlignment="1">
      <alignment horizontal="center" vertical="center" wrapText="1"/>
    </xf>
    <xf numFmtId="2" fontId="1" fillId="0" borderId="1"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6"/>
  <sheetViews>
    <sheetView tabSelected="1" workbookViewId="0">
      <selection activeCell="D7" sqref="D7"/>
    </sheetView>
  </sheetViews>
  <sheetFormatPr baseColWidth="10" defaultColWidth="8.83203125" defaultRowHeight="14"/>
  <cols>
    <col min="1" max="1" width="16" customWidth="1"/>
    <col min="2" max="2" width="24" customWidth="1"/>
    <col min="3" max="3" width="11" customWidth="1"/>
    <col min="4" max="4" width="28" customWidth="1"/>
    <col min="5" max="8" width="23" customWidth="1"/>
    <col min="9" max="9" width="21" customWidth="1"/>
    <col min="10" max="10" width="22" customWidth="1"/>
    <col min="11" max="11" width="13" customWidth="1"/>
    <col min="12" max="12" width="10" customWidth="1"/>
    <col min="13" max="13" width="14" customWidth="1"/>
    <col min="14" max="14" width="26" customWidth="1"/>
  </cols>
  <sheetData>
    <row r="1" spans="1:14" ht="33.25" customHeight="1">
      <c r="A1" s="5" t="s">
        <v>0</v>
      </c>
      <c r="B1" s="5"/>
      <c r="C1" s="5"/>
      <c r="D1" s="5"/>
      <c r="E1" s="5"/>
      <c r="F1" s="5"/>
      <c r="G1" s="5"/>
      <c r="H1" s="5"/>
      <c r="I1" s="5"/>
      <c r="J1" s="5"/>
      <c r="K1" s="5"/>
      <c r="L1" s="5"/>
      <c r="M1" s="5"/>
      <c r="N1" s="5"/>
    </row>
    <row r="2" spans="1:14" ht="29.25" customHeight="1">
      <c r="A2" s="6" t="s">
        <v>1</v>
      </c>
      <c r="B2" s="6"/>
      <c r="C2" s="6"/>
      <c r="D2" s="6"/>
      <c r="E2" s="6"/>
      <c r="F2" s="6"/>
      <c r="G2" s="6"/>
      <c r="H2" s="6"/>
      <c r="I2" s="6"/>
      <c r="J2" s="6"/>
      <c r="K2" s="6"/>
      <c r="L2" s="6"/>
      <c r="M2" s="6"/>
      <c r="N2" s="6"/>
    </row>
    <row r="3" spans="1:14" ht="36" customHeight="1">
      <c r="A3" s="7" t="s">
        <v>2</v>
      </c>
      <c r="B3" s="7"/>
      <c r="C3" s="7"/>
      <c r="D3" s="7"/>
      <c r="E3" s="7"/>
      <c r="F3" s="7"/>
      <c r="G3" s="7"/>
      <c r="H3" s="7"/>
      <c r="I3" s="7"/>
      <c r="J3" s="7"/>
      <c r="K3" s="7"/>
      <c r="L3" s="7"/>
      <c r="M3" s="7"/>
      <c r="N3" s="7"/>
    </row>
    <row r="4" spans="1:14" ht="26.75" customHeight="1">
      <c r="A4" s="1" t="s">
        <v>3</v>
      </c>
      <c r="B4" s="1" t="str">
        <f>"Mahasiswa dinilai: "&amp;COUNT(K7:K56)</f>
        <v>Mahasiswa dinilai: 0</v>
      </c>
      <c r="C4" s="1"/>
      <c r="D4" s="1" t="str">
        <f>IF(COUNT(K7:K56)=0,"Rata-rata: -","Rata-rata: "&amp;TEXT(AVERAGE(K7:K56),"0.00"))</f>
        <v>Rata-rata: -</v>
      </c>
      <c r="E4" s="1"/>
      <c r="F4" s="1" t="str">
        <f>IF(COUNT(K7:K56)=0,"Tertinggi: -","Tertinggi: "&amp;TEXT(MAX(K7:K56),"0.00"))</f>
        <v>Tertinggi: -</v>
      </c>
      <c r="G4" s="1"/>
      <c r="H4" s="1" t="str">
        <f>IF(COUNT(K7:K56)=0,"Terendah: -","Terendah: "&amp;TEXT(MIN(K7:K56),"0.00"))</f>
        <v>Terendah: -</v>
      </c>
      <c r="I4" s="1"/>
      <c r="J4" s="1"/>
      <c r="K4" s="1"/>
      <c r="L4" s="1"/>
      <c r="M4" s="1"/>
      <c r="N4" s="1"/>
    </row>
    <row r="5" spans="1:14" ht="73.25" customHeight="1">
      <c r="A5" s="12" t="s">
        <v>4</v>
      </c>
      <c r="B5" s="12" t="s">
        <v>5</v>
      </c>
      <c r="C5" s="12" t="s">
        <v>6</v>
      </c>
      <c r="D5" s="12" t="s">
        <v>7</v>
      </c>
      <c r="E5" s="12" t="s">
        <v>8</v>
      </c>
      <c r="F5" s="12" t="s">
        <v>9</v>
      </c>
      <c r="G5" s="12" t="s">
        <v>10</v>
      </c>
      <c r="H5" s="12" t="s">
        <v>11</v>
      </c>
      <c r="I5" s="12" t="s">
        <v>12</v>
      </c>
      <c r="J5" s="12" t="s">
        <v>13</v>
      </c>
      <c r="K5" s="12" t="s">
        <v>14</v>
      </c>
      <c r="L5" s="12" t="s">
        <v>15</v>
      </c>
      <c r="M5" s="12" t="s">
        <v>16</v>
      </c>
      <c r="N5" s="12" t="s">
        <v>17</v>
      </c>
    </row>
    <row r="6" spans="1:14" ht="29.25" customHeight="1">
      <c r="A6" s="13"/>
      <c r="B6" s="13"/>
      <c r="C6" s="13"/>
      <c r="D6" s="13" t="s">
        <v>18</v>
      </c>
      <c r="E6" s="13">
        <v>10</v>
      </c>
      <c r="F6" s="13">
        <v>10</v>
      </c>
      <c r="G6" s="13">
        <v>15</v>
      </c>
      <c r="H6" s="13">
        <v>15</v>
      </c>
      <c r="I6" s="13">
        <v>10</v>
      </c>
      <c r="J6" s="13">
        <v>40</v>
      </c>
      <c r="K6" s="13">
        <v>100</v>
      </c>
      <c r="L6" s="13"/>
      <c r="M6" s="13"/>
      <c r="N6" s="13"/>
    </row>
    <row r="7" spans="1:14" ht="33.25" customHeight="1">
      <c r="A7" s="14"/>
      <c r="B7" s="14"/>
      <c r="C7" s="14"/>
      <c r="D7" s="14"/>
      <c r="E7" s="15"/>
      <c r="F7" s="15"/>
      <c r="G7" s="15"/>
      <c r="H7" s="15"/>
      <c r="I7" s="15"/>
      <c r="J7" s="15"/>
      <c r="K7" s="16" t="str">
        <f t="shared" ref="K7:K38" si="0">IF(COUNTA(E7:J7)=0,"",SUMPRODUCT(E7:J7,$E$6:$J$6)/100)</f>
        <v/>
      </c>
      <c r="L7" s="15" t="str">
        <f t="shared" ref="L7:L38" si="1">IF(K7="","",IF(K7&gt;=79,4,IF(K7&gt;=65,3,IF(K7&gt;=49,2,1))))</f>
        <v/>
      </c>
      <c r="M7" s="15" t="str">
        <f t="shared" ref="M7:M38" si="2">IF(K7="","",IF(K7&gt;=79,"Sangat Baik",IF(K7&gt;=65,"Baik",IF(K7&gt;=49,"Cukup","Kurang"))))</f>
        <v/>
      </c>
      <c r="N7" s="14"/>
    </row>
    <row r="8" spans="1:14" ht="33.25" customHeight="1">
      <c r="A8" s="14"/>
      <c r="B8" s="14"/>
      <c r="C8" s="14"/>
      <c r="D8" s="14"/>
      <c r="E8" s="15"/>
      <c r="F8" s="15"/>
      <c r="G8" s="15"/>
      <c r="H8" s="15"/>
      <c r="I8" s="15"/>
      <c r="J8" s="15"/>
      <c r="K8" s="16" t="str">
        <f t="shared" si="0"/>
        <v/>
      </c>
      <c r="L8" s="15" t="str">
        <f t="shared" si="1"/>
        <v/>
      </c>
      <c r="M8" s="15" t="str">
        <f t="shared" si="2"/>
        <v/>
      </c>
      <c r="N8" s="14"/>
    </row>
    <row r="9" spans="1:14" ht="33.25" customHeight="1">
      <c r="A9" s="14"/>
      <c r="B9" s="14"/>
      <c r="C9" s="14"/>
      <c r="D9" s="14"/>
      <c r="E9" s="15"/>
      <c r="F9" s="15"/>
      <c r="G9" s="15"/>
      <c r="H9" s="15"/>
      <c r="I9" s="15"/>
      <c r="J9" s="15"/>
      <c r="K9" s="16" t="str">
        <f t="shared" si="0"/>
        <v/>
      </c>
      <c r="L9" s="15" t="str">
        <f t="shared" si="1"/>
        <v/>
      </c>
      <c r="M9" s="15" t="str">
        <f t="shared" si="2"/>
        <v/>
      </c>
      <c r="N9" s="14"/>
    </row>
    <row r="10" spans="1:14" ht="33.25" customHeight="1">
      <c r="A10" s="14"/>
      <c r="B10" s="14"/>
      <c r="C10" s="14"/>
      <c r="D10" s="14"/>
      <c r="E10" s="15"/>
      <c r="F10" s="15"/>
      <c r="G10" s="15"/>
      <c r="H10" s="15"/>
      <c r="I10" s="15"/>
      <c r="J10" s="15"/>
      <c r="K10" s="16" t="str">
        <f t="shared" si="0"/>
        <v/>
      </c>
      <c r="L10" s="15" t="str">
        <f t="shared" si="1"/>
        <v/>
      </c>
      <c r="M10" s="15" t="str">
        <f t="shared" si="2"/>
        <v/>
      </c>
      <c r="N10" s="14"/>
    </row>
    <row r="11" spans="1:14" ht="33.25" customHeight="1">
      <c r="A11" s="14"/>
      <c r="B11" s="14"/>
      <c r="C11" s="14"/>
      <c r="D11" s="14"/>
      <c r="E11" s="15"/>
      <c r="F11" s="15"/>
      <c r="G11" s="15"/>
      <c r="H11" s="15"/>
      <c r="I11" s="15"/>
      <c r="J11" s="15"/>
      <c r="K11" s="16" t="str">
        <f t="shared" si="0"/>
        <v/>
      </c>
      <c r="L11" s="15" t="str">
        <f t="shared" si="1"/>
        <v/>
      </c>
      <c r="M11" s="15" t="str">
        <f t="shared" si="2"/>
        <v/>
      </c>
      <c r="N11" s="14"/>
    </row>
    <row r="12" spans="1:14" ht="33.25" customHeight="1">
      <c r="A12" s="14"/>
      <c r="B12" s="14"/>
      <c r="C12" s="14"/>
      <c r="D12" s="14"/>
      <c r="E12" s="15"/>
      <c r="F12" s="15"/>
      <c r="G12" s="15"/>
      <c r="H12" s="15"/>
      <c r="I12" s="15"/>
      <c r="J12" s="15"/>
      <c r="K12" s="16" t="str">
        <f t="shared" si="0"/>
        <v/>
      </c>
      <c r="L12" s="15" t="str">
        <f t="shared" si="1"/>
        <v/>
      </c>
      <c r="M12" s="15" t="str">
        <f t="shared" si="2"/>
        <v/>
      </c>
      <c r="N12" s="14"/>
    </row>
    <row r="13" spans="1:14" ht="33.25" customHeight="1">
      <c r="A13" s="14"/>
      <c r="B13" s="14"/>
      <c r="C13" s="14"/>
      <c r="D13" s="14"/>
      <c r="E13" s="15"/>
      <c r="F13" s="15"/>
      <c r="G13" s="15"/>
      <c r="H13" s="15"/>
      <c r="I13" s="15"/>
      <c r="J13" s="15"/>
      <c r="K13" s="16" t="str">
        <f t="shared" si="0"/>
        <v/>
      </c>
      <c r="L13" s="15" t="str">
        <f t="shared" si="1"/>
        <v/>
      </c>
      <c r="M13" s="15" t="str">
        <f t="shared" si="2"/>
        <v/>
      </c>
      <c r="N13" s="14"/>
    </row>
    <row r="14" spans="1:14" ht="33.25" customHeight="1">
      <c r="A14" s="14"/>
      <c r="B14" s="14"/>
      <c r="C14" s="14"/>
      <c r="D14" s="14"/>
      <c r="E14" s="15"/>
      <c r="F14" s="15"/>
      <c r="G14" s="15"/>
      <c r="H14" s="15"/>
      <c r="I14" s="15"/>
      <c r="J14" s="15"/>
      <c r="K14" s="16" t="str">
        <f t="shared" si="0"/>
        <v/>
      </c>
      <c r="L14" s="15" t="str">
        <f t="shared" si="1"/>
        <v/>
      </c>
      <c r="M14" s="15" t="str">
        <f t="shared" si="2"/>
        <v/>
      </c>
      <c r="N14" s="14"/>
    </row>
    <row r="15" spans="1:14" ht="33.25" customHeight="1">
      <c r="A15" s="14"/>
      <c r="B15" s="14"/>
      <c r="C15" s="14"/>
      <c r="D15" s="14"/>
      <c r="E15" s="15"/>
      <c r="F15" s="15"/>
      <c r="G15" s="15"/>
      <c r="H15" s="15"/>
      <c r="I15" s="15"/>
      <c r="J15" s="15"/>
      <c r="K15" s="16" t="str">
        <f t="shared" si="0"/>
        <v/>
      </c>
      <c r="L15" s="15" t="str">
        <f t="shared" si="1"/>
        <v/>
      </c>
      <c r="M15" s="15" t="str">
        <f t="shared" si="2"/>
        <v/>
      </c>
      <c r="N15" s="14"/>
    </row>
    <row r="16" spans="1:14" ht="33.25" customHeight="1">
      <c r="A16" s="14"/>
      <c r="B16" s="14"/>
      <c r="C16" s="14"/>
      <c r="D16" s="14"/>
      <c r="E16" s="15"/>
      <c r="F16" s="15"/>
      <c r="G16" s="15"/>
      <c r="H16" s="15"/>
      <c r="I16" s="15"/>
      <c r="J16" s="15"/>
      <c r="K16" s="16" t="str">
        <f t="shared" si="0"/>
        <v/>
      </c>
      <c r="L16" s="15" t="str">
        <f t="shared" si="1"/>
        <v/>
      </c>
      <c r="M16" s="15" t="str">
        <f t="shared" si="2"/>
        <v/>
      </c>
      <c r="N16" s="14"/>
    </row>
    <row r="17" spans="1:14" ht="33.25" customHeight="1">
      <c r="A17" s="14"/>
      <c r="B17" s="14"/>
      <c r="C17" s="14"/>
      <c r="D17" s="14"/>
      <c r="E17" s="15"/>
      <c r="F17" s="15"/>
      <c r="G17" s="15"/>
      <c r="H17" s="15"/>
      <c r="I17" s="15"/>
      <c r="J17" s="15"/>
      <c r="K17" s="16" t="str">
        <f t="shared" si="0"/>
        <v/>
      </c>
      <c r="L17" s="15" t="str">
        <f t="shared" si="1"/>
        <v/>
      </c>
      <c r="M17" s="15" t="str">
        <f t="shared" si="2"/>
        <v/>
      </c>
      <c r="N17" s="14"/>
    </row>
    <row r="18" spans="1:14" ht="33.25" customHeight="1">
      <c r="A18" s="14"/>
      <c r="B18" s="14"/>
      <c r="C18" s="14"/>
      <c r="D18" s="14"/>
      <c r="E18" s="15"/>
      <c r="F18" s="15"/>
      <c r="G18" s="15"/>
      <c r="H18" s="15"/>
      <c r="I18" s="15"/>
      <c r="J18" s="15"/>
      <c r="K18" s="16" t="str">
        <f t="shared" si="0"/>
        <v/>
      </c>
      <c r="L18" s="15" t="str">
        <f t="shared" si="1"/>
        <v/>
      </c>
      <c r="M18" s="15" t="str">
        <f t="shared" si="2"/>
        <v/>
      </c>
      <c r="N18" s="14"/>
    </row>
    <row r="19" spans="1:14" ht="33.25" customHeight="1">
      <c r="A19" s="14"/>
      <c r="B19" s="14"/>
      <c r="C19" s="14"/>
      <c r="D19" s="14"/>
      <c r="E19" s="15"/>
      <c r="F19" s="15"/>
      <c r="G19" s="15"/>
      <c r="H19" s="15"/>
      <c r="I19" s="15"/>
      <c r="J19" s="15"/>
      <c r="K19" s="16" t="str">
        <f t="shared" si="0"/>
        <v/>
      </c>
      <c r="L19" s="15" t="str">
        <f t="shared" si="1"/>
        <v/>
      </c>
      <c r="M19" s="15" t="str">
        <f t="shared" si="2"/>
        <v/>
      </c>
      <c r="N19" s="14"/>
    </row>
    <row r="20" spans="1:14" ht="33.25" customHeight="1">
      <c r="A20" s="14"/>
      <c r="B20" s="14"/>
      <c r="C20" s="14"/>
      <c r="D20" s="14"/>
      <c r="E20" s="15"/>
      <c r="F20" s="15"/>
      <c r="G20" s="15"/>
      <c r="H20" s="15"/>
      <c r="I20" s="15"/>
      <c r="J20" s="15"/>
      <c r="K20" s="16" t="str">
        <f t="shared" si="0"/>
        <v/>
      </c>
      <c r="L20" s="15" t="str">
        <f t="shared" si="1"/>
        <v/>
      </c>
      <c r="M20" s="15" t="str">
        <f t="shared" si="2"/>
        <v/>
      </c>
      <c r="N20" s="14"/>
    </row>
    <row r="21" spans="1:14" ht="33.25" customHeight="1">
      <c r="A21" s="14"/>
      <c r="B21" s="14"/>
      <c r="C21" s="14"/>
      <c r="D21" s="14"/>
      <c r="E21" s="15"/>
      <c r="F21" s="15"/>
      <c r="G21" s="15"/>
      <c r="H21" s="15"/>
      <c r="I21" s="15"/>
      <c r="J21" s="15"/>
      <c r="K21" s="16" t="str">
        <f t="shared" si="0"/>
        <v/>
      </c>
      <c r="L21" s="15" t="str">
        <f t="shared" si="1"/>
        <v/>
      </c>
      <c r="M21" s="15" t="str">
        <f t="shared" si="2"/>
        <v/>
      </c>
      <c r="N21" s="14"/>
    </row>
    <row r="22" spans="1:14" ht="33.25" customHeight="1">
      <c r="A22" s="14"/>
      <c r="B22" s="14"/>
      <c r="C22" s="14"/>
      <c r="D22" s="14"/>
      <c r="E22" s="15"/>
      <c r="F22" s="15"/>
      <c r="G22" s="15"/>
      <c r="H22" s="15"/>
      <c r="I22" s="15"/>
      <c r="J22" s="15"/>
      <c r="K22" s="16" t="str">
        <f t="shared" si="0"/>
        <v/>
      </c>
      <c r="L22" s="15" t="str">
        <f t="shared" si="1"/>
        <v/>
      </c>
      <c r="M22" s="15" t="str">
        <f t="shared" si="2"/>
        <v/>
      </c>
      <c r="N22" s="14"/>
    </row>
    <row r="23" spans="1:14" ht="33.25" customHeight="1">
      <c r="A23" s="14"/>
      <c r="B23" s="14"/>
      <c r="C23" s="14"/>
      <c r="D23" s="14"/>
      <c r="E23" s="15"/>
      <c r="F23" s="15"/>
      <c r="G23" s="15"/>
      <c r="H23" s="15"/>
      <c r="I23" s="15"/>
      <c r="J23" s="15"/>
      <c r="K23" s="16" t="str">
        <f t="shared" si="0"/>
        <v/>
      </c>
      <c r="L23" s="15" t="str">
        <f t="shared" si="1"/>
        <v/>
      </c>
      <c r="M23" s="15" t="str">
        <f t="shared" si="2"/>
        <v/>
      </c>
      <c r="N23" s="14"/>
    </row>
    <row r="24" spans="1:14" ht="33.25" customHeight="1">
      <c r="A24" s="14"/>
      <c r="B24" s="14"/>
      <c r="C24" s="14"/>
      <c r="D24" s="14"/>
      <c r="E24" s="15"/>
      <c r="F24" s="15"/>
      <c r="G24" s="15"/>
      <c r="H24" s="15"/>
      <c r="I24" s="15"/>
      <c r="J24" s="15"/>
      <c r="K24" s="16" t="str">
        <f t="shared" si="0"/>
        <v/>
      </c>
      <c r="L24" s="15" t="str">
        <f t="shared" si="1"/>
        <v/>
      </c>
      <c r="M24" s="15" t="str">
        <f t="shared" si="2"/>
        <v/>
      </c>
      <c r="N24" s="14"/>
    </row>
    <row r="25" spans="1:14" ht="33.25" customHeight="1">
      <c r="A25" s="14"/>
      <c r="B25" s="14"/>
      <c r="C25" s="14"/>
      <c r="D25" s="14"/>
      <c r="E25" s="15"/>
      <c r="F25" s="15"/>
      <c r="G25" s="15"/>
      <c r="H25" s="15"/>
      <c r="I25" s="15"/>
      <c r="J25" s="15"/>
      <c r="K25" s="16" t="str">
        <f t="shared" si="0"/>
        <v/>
      </c>
      <c r="L25" s="15" t="str">
        <f t="shared" si="1"/>
        <v/>
      </c>
      <c r="M25" s="15" t="str">
        <f t="shared" si="2"/>
        <v/>
      </c>
      <c r="N25" s="14"/>
    </row>
    <row r="26" spans="1:14" ht="33.25" customHeight="1">
      <c r="A26" s="14"/>
      <c r="B26" s="14"/>
      <c r="C26" s="14"/>
      <c r="D26" s="14"/>
      <c r="E26" s="15"/>
      <c r="F26" s="15"/>
      <c r="G26" s="15"/>
      <c r="H26" s="15"/>
      <c r="I26" s="15"/>
      <c r="J26" s="15"/>
      <c r="K26" s="16" t="str">
        <f t="shared" si="0"/>
        <v/>
      </c>
      <c r="L26" s="15" t="str">
        <f t="shared" si="1"/>
        <v/>
      </c>
      <c r="M26" s="15" t="str">
        <f t="shared" si="2"/>
        <v/>
      </c>
      <c r="N26" s="14"/>
    </row>
    <row r="27" spans="1:14" ht="33.25" customHeight="1">
      <c r="A27" s="14"/>
      <c r="B27" s="14"/>
      <c r="C27" s="14"/>
      <c r="D27" s="14"/>
      <c r="E27" s="15"/>
      <c r="F27" s="15"/>
      <c r="G27" s="15"/>
      <c r="H27" s="15"/>
      <c r="I27" s="15"/>
      <c r="J27" s="15"/>
      <c r="K27" s="16" t="str">
        <f t="shared" si="0"/>
        <v/>
      </c>
      <c r="L27" s="15" t="str">
        <f t="shared" si="1"/>
        <v/>
      </c>
      <c r="M27" s="15" t="str">
        <f t="shared" si="2"/>
        <v/>
      </c>
      <c r="N27" s="14"/>
    </row>
    <row r="28" spans="1:14" ht="33.25" customHeight="1">
      <c r="A28" s="14"/>
      <c r="B28" s="14"/>
      <c r="C28" s="14"/>
      <c r="D28" s="14"/>
      <c r="E28" s="15"/>
      <c r="F28" s="15"/>
      <c r="G28" s="15"/>
      <c r="H28" s="15"/>
      <c r="I28" s="15"/>
      <c r="J28" s="15"/>
      <c r="K28" s="16" t="str">
        <f t="shared" si="0"/>
        <v/>
      </c>
      <c r="L28" s="15" t="str">
        <f t="shared" si="1"/>
        <v/>
      </c>
      <c r="M28" s="15" t="str">
        <f t="shared" si="2"/>
        <v/>
      </c>
      <c r="N28" s="14"/>
    </row>
    <row r="29" spans="1:14" ht="33.25" customHeight="1">
      <c r="A29" s="14"/>
      <c r="B29" s="14"/>
      <c r="C29" s="14"/>
      <c r="D29" s="14"/>
      <c r="E29" s="15"/>
      <c r="F29" s="15"/>
      <c r="G29" s="15"/>
      <c r="H29" s="15"/>
      <c r="I29" s="15"/>
      <c r="J29" s="15"/>
      <c r="K29" s="16" t="str">
        <f t="shared" si="0"/>
        <v/>
      </c>
      <c r="L29" s="15" t="str">
        <f t="shared" si="1"/>
        <v/>
      </c>
      <c r="M29" s="15" t="str">
        <f t="shared" si="2"/>
        <v/>
      </c>
      <c r="N29" s="14"/>
    </row>
    <row r="30" spans="1:14" ht="33.25" customHeight="1">
      <c r="A30" s="14"/>
      <c r="B30" s="14"/>
      <c r="C30" s="14"/>
      <c r="D30" s="14"/>
      <c r="E30" s="15"/>
      <c r="F30" s="15"/>
      <c r="G30" s="15"/>
      <c r="H30" s="15"/>
      <c r="I30" s="15"/>
      <c r="J30" s="15"/>
      <c r="K30" s="16" t="str">
        <f t="shared" si="0"/>
        <v/>
      </c>
      <c r="L30" s="15" t="str">
        <f t="shared" si="1"/>
        <v/>
      </c>
      <c r="M30" s="15" t="str">
        <f t="shared" si="2"/>
        <v/>
      </c>
      <c r="N30" s="14"/>
    </row>
    <row r="31" spans="1:14" ht="33.25" customHeight="1">
      <c r="A31" s="14"/>
      <c r="B31" s="14"/>
      <c r="C31" s="14"/>
      <c r="D31" s="14"/>
      <c r="E31" s="15"/>
      <c r="F31" s="15"/>
      <c r="G31" s="15"/>
      <c r="H31" s="15"/>
      <c r="I31" s="15"/>
      <c r="J31" s="15"/>
      <c r="K31" s="16" t="str">
        <f t="shared" si="0"/>
        <v/>
      </c>
      <c r="L31" s="15" t="str">
        <f t="shared" si="1"/>
        <v/>
      </c>
      <c r="M31" s="15" t="str">
        <f t="shared" si="2"/>
        <v/>
      </c>
      <c r="N31" s="14"/>
    </row>
    <row r="32" spans="1:14" ht="33.25" customHeight="1">
      <c r="A32" s="14"/>
      <c r="B32" s="14"/>
      <c r="C32" s="14"/>
      <c r="D32" s="14"/>
      <c r="E32" s="15"/>
      <c r="F32" s="15"/>
      <c r="G32" s="15"/>
      <c r="H32" s="15"/>
      <c r="I32" s="15"/>
      <c r="J32" s="15"/>
      <c r="K32" s="16" t="str">
        <f t="shared" si="0"/>
        <v/>
      </c>
      <c r="L32" s="15" t="str">
        <f t="shared" si="1"/>
        <v/>
      </c>
      <c r="M32" s="15" t="str">
        <f t="shared" si="2"/>
        <v/>
      </c>
      <c r="N32" s="14"/>
    </row>
    <row r="33" spans="1:14" ht="33.25" customHeight="1">
      <c r="A33" s="14"/>
      <c r="B33" s="14"/>
      <c r="C33" s="14"/>
      <c r="D33" s="14"/>
      <c r="E33" s="15"/>
      <c r="F33" s="15"/>
      <c r="G33" s="15"/>
      <c r="H33" s="15"/>
      <c r="I33" s="15"/>
      <c r="J33" s="15"/>
      <c r="K33" s="16" t="str">
        <f t="shared" si="0"/>
        <v/>
      </c>
      <c r="L33" s="15" t="str">
        <f t="shared" si="1"/>
        <v/>
      </c>
      <c r="M33" s="15" t="str">
        <f t="shared" si="2"/>
        <v/>
      </c>
      <c r="N33" s="14"/>
    </row>
    <row r="34" spans="1:14" ht="33.25" customHeight="1">
      <c r="A34" s="14"/>
      <c r="B34" s="14"/>
      <c r="C34" s="14"/>
      <c r="D34" s="14"/>
      <c r="E34" s="15"/>
      <c r="F34" s="15"/>
      <c r="G34" s="15"/>
      <c r="H34" s="15"/>
      <c r="I34" s="15"/>
      <c r="J34" s="15"/>
      <c r="K34" s="16" t="str">
        <f t="shared" si="0"/>
        <v/>
      </c>
      <c r="L34" s="15" t="str">
        <f t="shared" si="1"/>
        <v/>
      </c>
      <c r="M34" s="15" t="str">
        <f t="shared" si="2"/>
        <v/>
      </c>
      <c r="N34" s="14"/>
    </row>
    <row r="35" spans="1:14" ht="33.25" customHeight="1">
      <c r="A35" s="14"/>
      <c r="B35" s="14"/>
      <c r="C35" s="14"/>
      <c r="D35" s="14"/>
      <c r="E35" s="15"/>
      <c r="F35" s="15"/>
      <c r="G35" s="15"/>
      <c r="H35" s="15"/>
      <c r="I35" s="15"/>
      <c r="J35" s="15"/>
      <c r="K35" s="16" t="str">
        <f t="shared" si="0"/>
        <v/>
      </c>
      <c r="L35" s="15" t="str">
        <f t="shared" si="1"/>
        <v/>
      </c>
      <c r="M35" s="15" t="str">
        <f t="shared" si="2"/>
        <v/>
      </c>
      <c r="N35" s="14"/>
    </row>
    <row r="36" spans="1:14" ht="33.25" customHeight="1">
      <c r="A36" s="14"/>
      <c r="B36" s="14"/>
      <c r="C36" s="14"/>
      <c r="D36" s="14"/>
      <c r="E36" s="15"/>
      <c r="F36" s="15"/>
      <c r="G36" s="15"/>
      <c r="H36" s="15"/>
      <c r="I36" s="15"/>
      <c r="J36" s="15"/>
      <c r="K36" s="16" t="str">
        <f t="shared" si="0"/>
        <v/>
      </c>
      <c r="L36" s="15" t="str">
        <f t="shared" si="1"/>
        <v/>
      </c>
      <c r="M36" s="15" t="str">
        <f t="shared" si="2"/>
        <v/>
      </c>
      <c r="N36" s="14"/>
    </row>
    <row r="37" spans="1:14" ht="33.25" customHeight="1">
      <c r="A37" s="14"/>
      <c r="B37" s="14"/>
      <c r="C37" s="14"/>
      <c r="D37" s="14"/>
      <c r="E37" s="15"/>
      <c r="F37" s="15"/>
      <c r="G37" s="15"/>
      <c r="H37" s="15"/>
      <c r="I37" s="15"/>
      <c r="J37" s="15"/>
      <c r="K37" s="16" t="str">
        <f t="shared" si="0"/>
        <v/>
      </c>
      <c r="L37" s="15" t="str">
        <f t="shared" si="1"/>
        <v/>
      </c>
      <c r="M37" s="15" t="str">
        <f t="shared" si="2"/>
        <v/>
      </c>
      <c r="N37" s="14"/>
    </row>
    <row r="38" spans="1:14" ht="33.25" customHeight="1">
      <c r="A38" s="14"/>
      <c r="B38" s="14"/>
      <c r="C38" s="14"/>
      <c r="D38" s="14"/>
      <c r="E38" s="15"/>
      <c r="F38" s="15"/>
      <c r="G38" s="15"/>
      <c r="H38" s="15"/>
      <c r="I38" s="15"/>
      <c r="J38" s="15"/>
      <c r="K38" s="16" t="str">
        <f t="shared" si="0"/>
        <v/>
      </c>
      <c r="L38" s="15" t="str">
        <f t="shared" si="1"/>
        <v/>
      </c>
      <c r="M38" s="15" t="str">
        <f t="shared" si="2"/>
        <v/>
      </c>
      <c r="N38" s="14"/>
    </row>
    <row r="39" spans="1:14" ht="33.25" customHeight="1">
      <c r="A39" s="14"/>
      <c r="B39" s="14"/>
      <c r="C39" s="14"/>
      <c r="D39" s="14"/>
      <c r="E39" s="15"/>
      <c r="F39" s="15"/>
      <c r="G39" s="15"/>
      <c r="H39" s="15"/>
      <c r="I39" s="15"/>
      <c r="J39" s="15"/>
      <c r="K39" s="16" t="str">
        <f t="shared" ref="K39:K70" si="3">IF(COUNTA(E39:J39)=0,"",SUMPRODUCT(E39:J39,$E$6:$J$6)/100)</f>
        <v/>
      </c>
      <c r="L39" s="15" t="str">
        <f t="shared" ref="L39:L70" si="4">IF(K39="","",IF(K39&gt;=79,4,IF(K39&gt;=65,3,IF(K39&gt;=49,2,1))))</f>
        <v/>
      </c>
      <c r="M39" s="15" t="str">
        <f t="shared" ref="M39:M56" si="5">IF(K39="","",IF(K39&gt;=79,"Sangat Baik",IF(K39&gt;=65,"Baik",IF(K39&gt;=49,"Cukup","Kurang"))))</f>
        <v/>
      </c>
      <c r="N39" s="14"/>
    </row>
    <row r="40" spans="1:14" ht="33.25" customHeight="1">
      <c r="A40" s="14"/>
      <c r="B40" s="14"/>
      <c r="C40" s="14"/>
      <c r="D40" s="14"/>
      <c r="E40" s="15"/>
      <c r="F40" s="15"/>
      <c r="G40" s="15"/>
      <c r="H40" s="15"/>
      <c r="I40" s="15"/>
      <c r="J40" s="15"/>
      <c r="K40" s="16" t="str">
        <f t="shared" si="3"/>
        <v/>
      </c>
      <c r="L40" s="15" t="str">
        <f t="shared" si="4"/>
        <v/>
      </c>
      <c r="M40" s="15" t="str">
        <f t="shared" si="5"/>
        <v/>
      </c>
      <c r="N40" s="14"/>
    </row>
    <row r="41" spans="1:14" ht="33.25" customHeight="1">
      <c r="A41" s="14"/>
      <c r="B41" s="14"/>
      <c r="C41" s="14"/>
      <c r="D41" s="14"/>
      <c r="E41" s="15"/>
      <c r="F41" s="15"/>
      <c r="G41" s="15"/>
      <c r="H41" s="15"/>
      <c r="I41" s="15"/>
      <c r="J41" s="15"/>
      <c r="K41" s="16" t="str">
        <f t="shared" si="3"/>
        <v/>
      </c>
      <c r="L41" s="15" t="str">
        <f t="shared" si="4"/>
        <v/>
      </c>
      <c r="M41" s="15" t="str">
        <f t="shared" si="5"/>
        <v/>
      </c>
      <c r="N41" s="14"/>
    </row>
    <row r="42" spans="1:14" ht="33.25" customHeight="1">
      <c r="A42" s="14"/>
      <c r="B42" s="14"/>
      <c r="C42" s="14"/>
      <c r="D42" s="14"/>
      <c r="E42" s="15"/>
      <c r="F42" s="15"/>
      <c r="G42" s="15"/>
      <c r="H42" s="15"/>
      <c r="I42" s="15"/>
      <c r="J42" s="15"/>
      <c r="K42" s="16" t="str">
        <f t="shared" si="3"/>
        <v/>
      </c>
      <c r="L42" s="15" t="str">
        <f t="shared" si="4"/>
        <v/>
      </c>
      <c r="M42" s="15" t="str">
        <f t="shared" si="5"/>
        <v/>
      </c>
      <c r="N42" s="14"/>
    </row>
    <row r="43" spans="1:14" ht="33.25" customHeight="1">
      <c r="A43" s="14"/>
      <c r="B43" s="14"/>
      <c r="C43" s="14"/>
      <c r="D43" s="14"/>
      <c r="E43" s="15"/>
      <c r="F43" s="15"/>
      <c r="G43" s="15"/>
      <c r="H43" s="15"/>
      <c r="I43" s="15"/>
      <c r="J43" s="15"/>
      <c r="K43" s="16" t="str">
        <f t="shared" si="3"/>
        <v/>
      </c>
      <c r="L43" s="15" t="str">
        <f t="shared" si="4"/>
        <v/>
      </c>
      <c r="M43" s="15" t="str">
        <f t="shared" si="5"/>
        <v/>
      </c>
      <c r="N43" s="14"/>
    </row>
    <row r="44" spans="1:14" ht="33.25" customHeight="1">
      <c r="A44" s="14"/>
      <c r="B44" s="14"/>
      <c r="C44" s="14"/>
      <c r="D44" s="14"/>
      <c r="E44" s="15"/>
      <c r="F44" s="15"/>
      <c r="G44" s="15"/>
      <c r="H44" s="15"/>
      <c r="I44" s="15"/>
      <c r="J44" s="15"/>
      <c r="K44" s="16" t="str">
        <f t="shared" si="3"/>
        <v/>
      </c>
      <c r="L44" s="15" t="str">
        <f t="shared" si="4"/>
        <v/>
      </c>
      <c r="M44" s="15" t="str">
        <f t="shared" si="5"/>
        <v/>
      </c>
      <c r="N44" s="14"/>
    </row>
    <row r="45" spans="1:14" ht="33.25" customHeight="1">
      <c r="A45" s="14"/>
      <c r="B45" s="14"/>
      <c r="C45" s="14"/>
      <c r="D45" s="14"/>
      <c r="E45" s="15"/>
      <c r="F45" s="15"/>
      <c r="G45" s="15"/>
      <c r="H45" s="15"/>
      <c r="I45" s="15"/>
      <c r="J45" s="15"/>
      <c r="K45" s="16" t="str">
        <f t="shared" si="3"/>
        <v/>
      </c>
      <c r="L45" s="15" t="str">
        <f t="shared" si="4"/>
        <v/>
      </c>
      <c r="M45" s="15" t="str">
        <f t="shared" si="5"/>
        <v/>
      </c>
      <c r="N45" s="14"/>
    </row>
    <row r="46" spans="1:14" ht="33.25" customHeight="1">
      <c r="A46" s="14"/>
      <c r="B46" s="14"/>
      <c r="C46" s="14"/>
      <c r="D46" s="14"/>
      <c r="E46" s="15"/>
      <c r="F46" s="15"/>
      <c r="G46" s="15"/>
      <c r="H46" s="15"/>
      <c r="I46" s="15"/>
      <c r="J46" s="15"/>
      <c r="K46" s="16" t="str">
        <f t="shared" si="3"/>
        <v/>
      </c>
      <c r="L46" s="15" t="str">
        <f t="shared" si="4"/>
        <v/>
      </c>
      <c r="M46" s="15" t="str">
        <f t="shared" si="5"/>
        <v/>
      </c>
      <c r="N46" s="14"/>
    </row>
    <row r="47" spans="1:14" ht="33.25" customHeight="1">
      <c r="A47" s="14"/>
      <c r="B47" s="14"/>
      <c r="C47" s="14"/>
      <c r="D47" s="14"/>
      <c r="E47" s="15"/>
      <c r="F47" s="15"/>
      <c r="G47" s="15"/>
      <c r="H47" s="15"/>
      <c r="I47" s="15"/>
      <c r="J47" s="15"/>
      <c r="K47" s="16" t="str">
        <f t="shared" si="3"/>
        <v/>
      </c>
      <c r="L47" s="15" t="str">
        <f t="shared" si="4"/>
        <v/>
      </c>
      <c r="M47" s="15" t="str">
        <f t="shared" si="5"/>
        <v/>
      </c>
      <c r="N47" s="14"/>
    </row>
    <row r="48" spans="1:14" ht="33.25" customHeight="1">
      <c r="A48" s="14"/>
      <c r="B48" s="14"/>
      <c r="C48" s="14"/>
      <c r="D48" s="14"/>
      <c r="E48" s="15"/>
      <c r="F48" s="15"/>
      <c r="G48" s="15"/>
      <c r="H48" s="15"/>
      <c r="I48" s="15"/>
      <c r="J48" s="15"/>
      <c r="K48" s="16" t="str">
        <f t="shared" si="3"/>
        <v/>
      </c>
      <c r="L48" s="15" t="str">
        <f t="shared" si="4"/>
        <v/>
      </c>
      <c r="M48" s="15" t="str">
        <f t="shared" si="5"/>
        <v/>
      </c>
      <c r="N48" s="14"/>
    </row>
    <row r="49" spans="1:14" ht="33.25" customHeight="1">
      <c r="A49" s="14"/>
      <c r="B49" s="14"/>
      <c r="C49" s="14"/>
      <c r="D49" s="14"/>
      <c r="E49" s="15"/>
      <c r="F49" s="15"/>
      <c r="G49" s="15"/>
      <c r="H49" s="15"/>
      <c r="I49" s="15"/>
      <c r="J49" s="15"/>
      <c r="K49" s="16" t="str">
        <f t="shared" si="3"/>
        <v/>
      </c>
      <c r="L49" s="15" t="str">
        <f t="shared" si="4"/>
        <v/>
      </c>
      <c r="M49" s="15" t="str">
        <f t="shared" si="5"/>
        <v/>
      </c>
      <c r="N49" s="14"/>
    </row>
    <row r="50" spans="1:14" ht="33.25" customHeight="1">
      <c r="A50" s="14"/>
      <c r="B50" s="14"/>
      <c r="C50" s="14"/>
      <c r="D50" s="14"/>
      <c r="E50" s="15"/>
      <c r="F50" s="15"/>
      <c r="G50" s="15"/>
      <c r="H50" s="15"/>
      <c r="I50" s="15"/>
      <c r="J50" s="15"/>
      <c r="K50" s="16" t="str">
        <f t="shared" si="3"/>
        <v/>
      </c>
      <c r="L50" s="15" t="str">
        <f t="shared" si="4"/>
        <v/>
      </c>
      <c r="M50" s="15" t="str">
        <f t="shared" si="5"/>
        <v/>
      </c>
      <c r="N50" s="14"/>
    </row>
    <row r="51" spans="1:14" ht="33.25" customHeight="1">
      <c r="A51" s="14"/>
      <c r="B51" s="14"/>
      <c r="C51" s="14"/>
      <c r="D51" s="14"/>
      <c r="E51" s="15"/>
      <c r="F51" s="15"/>
      <c r="G51" s="15"/>
      <c r="H51" s="15"/>
      <c r="I51" s="15"/>
      <c r="J51" s="15"/>
      <c r="K51" s="16" t="str">
        <f t="shared" si="3"/>
        <v/>
      </c>
      <c r="L51" s="15" t="str">
        <f t="shared" si="4"/>
        <v/>
      </c>
      <c r="M51" s="15" t="str">
        <f t="shared" si="5"/>
        <v/>
      </c>
      <c r="N51" s="14"/>
    </row>
    <row r="52" spans="1:14" ht="33.25" customHeight="1">
      <c r="A52" s="14"/>
      <c r="B52" s="14"/>
      <c r="C52" s="14"/>
      <c r="D52" s="14"/>
      <c r="E52" s="15"/>
      <c r="F52" s="15"/>
      <c r="G52" s="15"/>
      <c r="H52" s="15"/>
      <c r="I52" s="15"/>
      <c r="J52" s="15"/>
      <c r="K52" s="16" t="str">
        <f t="shared" si="3"/>
        <v/>
      </c>
      <c r="L52" s="15" t="str">
        <f t="shared" si="4"/>
        <v/>
      </c>
      <c r="M52" s="15" t="str">
        <f t="shared" si="5"/>
        <v/>
      </c>
      <c r="N52" s="14"/>
    </row>
    <row r="53" spans="1:14" ht="33.25" customHeight="1">
      <c r="A53" s="14"/>
      <c r="B53" s="14"/>
      <c r="C53" s="14"/>
      <c r="D53" s="14"/>
      <c r="E53" s="15"/>
      <c r="F53" s="15"/>
      <c r="G53" s="15"/>
      <c r="H53" s="15"/>
      <c r="I53" s="15"/>
      <c r="J53" s="15"/>
      <c r="K53" s="16" t="str">
        <f t="shared" si="3"/>
        <v/>
      </c>
      <c r="L53" s="15" t="str">
        <f t="shared" si="4"/>
        <v/>
      </c>
      <c r="M53" s="15" t="str">
        <f t="shared" si="5"/>
        <v/>
      </c>
      <c r="N53" s="14"/>
    </row>
    <row r="54" spans="1:14" ht="33.25" customHeight="1">
      <c r="A54" s="14"/>
      <c r="B54" s="14"/>
      <c r="C54" s="14"/>
      <c r="D54" s="14"/>
      <c r="E54" s="15"/>
      <c r="F54" s="15"/>
      <c r="G54" s="15"/>
      <c r="H54" s="15"/>
      <c r="I54" s="15"/>
      <c r="J54" s="15"/>
      <c r="K54" s="16" t="str">
        <f t="shared" si="3"/>
        <v/>
      </c>
      <c r="L54" s="15" t="str">
        <f t="shared" si="4"/>
        <v/>
      </c>
      <c r="M54" s="15" t="str">
        <f t="shared" si="5"/>
        <v/>
      </c>
      <c r="N54" s="14"/>
    </row>
    <row r="55" spans="1:14" ht="33.25" customHeight="1">
      <c r="A55" s="14"/>
      <c r="B55" s="14"/>
      <c r="C55" s="14"/>
      <c r="D55" s="14"/>
      <c r="E55" s="15"/>
      <c r="F55" s="15"/>
      <c r="G55" s="15"/>
      <c r="H55" s="15"/>
      <c r="I55" s="15"/>
      <c r="J55" s="15"/>
      <c r="K55" s="16" t="str">
        <f t="shared" si="3"/>
        <v/>
      </c>
      <c r="L55" s="15" t="str">
        <f t="shared" si="4"/>
        <v/>
      </c>
      <c r="M55" s="15" t="str">
        <f t="shared" si="5"/>
        <v/>
      </c>
      <c r="N55" s="14"/>
    </row>
    <row r="56" spans="1:14" ht="33.25" customHeight="1">
      <c r="A56" s="14"/>
      <c r="B56" s="14"/>
      <c r="C56" s="14"/>
      <c r="D56" s="14"/>
      <c r="E56" s="15"/>
      <c r="F56" s="15"/>
      <c r="G56" s="15"/>
      <c r="H56" s="15"/>
      <c r="I56" s="15"/>
      <c r="J56" s="15"/>
      <c r="K56" s="16" t="str">
        <f t="shared" si="3"/>
        <v/>
      </c>
      <c r="L56" s="15" t="str">
        <f t="shared" si="4"/>
        <v/>
      </c>
      <c r="M56" s="15" t="str">
        <f t="shared" si="5"/>
        <v/>
      </c>
      <c r="N56" s="14"/>
    </row>
  </sheetData>
  <mergeCells count="3">
    <mergeCell ref="A1:N1"/>
    <mergeCell ref="A2:N2"/>
    <mergeCell ref="A3:N3"/>
  </mergeCells>
  <dataValidations count="1">
    <dataValidation type="decimal" sqref="E7:J56" xr:uid="{00000000-0002-0000-0000-000000000000}">
      <formula1>0</formula1>
      <formula2>100</formula2>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4"/>
  <sheetViews>
    <sheetView workbookViewId="0"/>
  </sheetViews>
  <sheetFormatPr baseColWidth="10" defaultColWidth="8.83203125" defaultRowHeight="14"/>
  <cols>
    <col min="1" max="1" width="6" customWidth="1"/>
    <col min="2" max="2" width="30" customWidth="1"/>
    <col min="3" max="3" width="20" customWidth="1"/>
    <col min="4" max="4" width="12" customWidth="1"/>
    <col min="5" max="5" width="43" customWidth="1"/>
    <col min="6" max="9" width="37" customWidth="1"/>
  </cols>
  <sheetData>
    <row r="1" spans="1:9" ht="32" customHeight="1">
      <c r="A1" s="8" t="s">
        <v>19</v>
      </c>
      <c r="B1" s="8"/>
      <c r="C1" s="8"/>
      <c r="D1" s="8"/>
      <c r="E1" s="8"/>
      <c r="F1" s="8"/>
      <c r="G1" s="8"/>
      <c r="H1" s="8"/>
      <c r="I1" s="8"/>
    </row>
    <row r="2" spans="1:9" ht="32" customHeight="1">
      <c r="A2" s="9" t="s">
        <v>20</v>
      </c>
      <c r="B2" s="9"/>
      <c r="C2" s="9"/>
      <c r="D2" s="9"/>
      <c r="E2" s="9"/>
      <c r="F2" s="9"/>
      <c r="G2" s="9"/>
      <c r="H2" s="9"/>
      <c r="I2" s="9"/>
    </row>
    <row r="3" spans="1:9">
      <c r="A3" s="2"/>
      <c r="B3" s="2"/>
      <c r="C3" s="2"/>
      <c r="D3" s="2"/>
      <c r="E3" s="2"/>
      <c r="F3" s="2"/>
      <c r="G3" s="2"/>
      <c r="H3" s="2"/>
      <c r="I3" s="2"/>
    </row>
    <row r="4" spans="1:9" ht="53.25" customHeight="1">
      <c r="A4" s="3" t="s">
        <v>21</v>
      </c>
      <c r="B4" s="3" t="s">
        <v>22</v>
      </c>
      <c r="C4" s="3" t="s">
        <v>23</v>
      </c>
      <c r="D4" s="3" t="s">
        <v>24</v>
      </c>
      <c r="E4" s="3" t="s">
        <v>25</v>
      </c>
      <c r="F4" s="3" t="s">
        <v>26</v>
      </c>
      <c r="G4" s="3" t="s">
        <v>27</v>
      </c>
      <c r="H4" s="3" t="s">
        <v>28</v>
      </c>
      <c r="I4" s="3" t="s">
        <v>29</v>
      </c>
    </row>
    <row r="5" spans="1:9" ht="140" customHeight="1">
      <c r="A5" s="2">
        <v>1</v>
      </c>
      <c r="B5" s="2" t="s">
        <v>8</v>
      </c>
      <c r="C5" s="2" t="s">
        <v>30</v>
      </c>
      <c r="D5" s="2">
        <v>10</v>
      </c>
      <c r="E5" s="2" t="s">
        <v>31</v>
      </c>
      <c r="F5" s="2" t="s">
        <v>32</v>
      </c>
      <c r="G5" s="2" t="s">
        <v>33</v>
      </c>
      <c r="H5" s="2" t="s">
        <v>34</v>
      </c>
      <c r="I5" s="2" t="s">
        <v>35</v>
      </c>
    </row>
    <row r="6" spans="1:9" ht="140" customHeight="1">
      <c r="A6" s="2">
        <v>2</v>
      </c>
      <c r="B6" s="2" t="s">
        <v>9</v>
      </c>
      <c r="C6" s="2" t="s">
        <v>36</v>
      </c>
      <c r="D6" s="2">
        <v>10</v>
      </c>
      <c r="E6" s="2" t="s">
        <v>37</v>
      </c>
      <c r="F6" s="2" t="s">
        <v>38</v>
      </c>
      <c r="G6" s="2" t="s">
        <v>39</v>
      </c>
      <c r="H6" s="2" t="s">
        <v>40</v>
      </c>
      <c r="I6" s="2" t="s">
        <v>41</v>
      </c>
    </row>
    <row r="7" spans="1:9" ht="140" customHeight="1">
      <c r="A7" s="2">
        <v>3</v>
      </c>
      <c r="B7" s="2" t="s">
        <v>10</v>
      </c>
      <c r="C7" s="2" t="s">
        <v>42</v>
      </c>
      <c r="D7" s="2">
        <v>15</v>
      </c>
      <c r="E7" s="2" t="s">
        <v>43</v>
      </c>
      <c r="F7" s="2" t="s">
        <v>44</v>
      </c>
      <c r="G7" s="2" t="s">
        <v>45</v>
      </c>
      <c r="H7" s="2" t="s">
        <v>46</v>
      </c>
      <c r="I7" s="2" t="s">
        <v>47</v>
      </c>
    </row>
    <row r="8" spans="1:9" ht="140" customHeight="1">
      <c r="A8" s="2">
        <v>4</v>
      </c>
      <c r="B8" s="2" t="s">
        <v>11</v>
      </c>
      <c r="C8" s="2" t="s">
        <v>42</v>
      </c>
      <c r="D8" s="2">
        <v>15</v>
      </c>
      <c r="E8" s="2" t="s">
        <v>48</v>
      </c>
      <c r="F8" s="2" t="s">
        <v>49</v>
      </c>
      <c r="G8" s="2" t="s">
        <v>50</v>
      </c>
      <c r="H8" s="2" t="s">
        <v>51</v>
      </c>
      <c r="I8" s="2" t="s">
        <v>52</v>
      </c>
    </row>
    <row r="9" spans="1:9" ht="140" customHeight="1">
      <c r="A9" s="2">
        <v>5</v>
      </c>
      <c r="B9" s="2" t="s">
        <v>12</v>
      </c>
      <c r="C9" s="2" t="s">
        <v>42</v>
      </c>
      <c r="D9" s="2">
        <v>10</v>
      </c>
      <c r="E9" s="2" t="s">
        <v>53</v>
      </c>
      <c r="F9" s="2" t="s">
        <v>54</v>
      </c>
      <c r="G9" s="2" t="s">
        <v>55</v>
      </c>
      <c r="H9" s="2" t="s">
        <v>56</v>
      </c>
      <c r="I9" s="2" t="s">
        <v>57</v>
      </c>
    </row>
    <row r="10" spans="1:9" ht="140" customHeight="1">
      <c r="A10" s="2">
        <v>6</v>
      </c>
      <c r="B10" s="2" t="s">
        <v>13</v>
      </c>
      <c r="C10" s="2" t="s">
        <v>58</v>
      </c>
      <c r="D10" s="2">
        <v>40</v>
      </c>
      <c r="E10" s="2" t="s">
        <v>59</v>
      </c>
      <c r="F10" s="2" t="s">
        <v>60</v>
      </c>
      <c r="G10" s="2" t="s">
        <v>61</v>
      </c>
      <c r="H10" s="2" t="s">
        <v>62</v>
      </c>
      <c r="I10" s="2" t="s">
        <v>63</v>
      </c>
    </row>
    <row r="11" spans="1:9" ht="46.75" customHeight="1">
      <c r="A11" s="4" t="s">
        <v>64</v>
      </c>
      <c r="B11" s="4" t="s">
        <v>65</v>
      </c>
      <c r="C11" s="4"/>
      <c r="D11" s="4">
        <v>100</v>
      </c>
      <c r="E11" s="4" t="s">
        <v>66</v>
      </c>
      <c r="F11" s="4"/>
      <c r="G11" s="4"/>
      <c r="H11" s="4"/>
      <c r="I11" s="4"/>
    </row>
    <row r="12" spans="1:9">
      <c r="A12" s="2"/>
      <c r="B12" s="2"/>
      <c r="C12" s="2"/>
      <c r="D12" s="2"/>
      <c r="E12" s="2"/>
      <c r="F12" s="2"/>
      <c r="G12" s="2"/>
      <c r="H12" s="2"/>
      <c r="I12" s="2"/>
    </row>
    <row r="13" spans="1:9" ht="29.25" customHeight="1">
      <c r="A13" s="10" t="s">
        <v>67</v>
      </c>
      <c r="B13" s="10"/>
      <c r="C13" s="10"/>
      <c r="D13" s="10"/>
      <c r="E13" s="10"/>
      <c r="F13" s="10"/>
      <c r="G13" s="10"/>
      <c r="H13" s="10"/>
      <c r="I13" s="10"/>
    </row>
    <row r="14" spans="1:9" ht="140" customHeight="1">
      <c r="A14" s="11" t="s">
        <v>68</v>
      </c>
      <c r="B14" s="11"/>
      <c r="C14" s="11"/>
      <c r="D14" s="11"/>
      <c r="E14" s="11"/>
      <c r="F14" s="11"/>
      <c r="G14" s="11"/>
      <c r="H14" s="11"/>
      <c r="I14" s="11"/>
    </row>
  </sheetData>
  <mergeCells count="4">
    <mergeCell ref="A1:I1"/>
    <mergeCell ref="A2:I2"/>
    <mergeCell ref="A13:I13"/>
    <mergeCell ref="A14:I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Penilaian</vt:lpstr>
      <vt:lpstr>Petunjuk Indikator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emha ramadhany</cp:lastModifiedBy>
  <dcterms:modified xsi:type="dcterms:W3CDTF">2026-07-31T16:30:37Z</dcterms:modified>
</cp:coreProperties>
</file>